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s\MyArkives\Arki_Schools\UNIL_HEC\MScF_S3\Quantitative_Asset_Risk_Management_II\Exercises_S3C5\QARM_II_Project\output\"/>
    </mc:Choice>
  </mc:AlternateContent>
  <xr:revisionPtr revIDLastSave="0" documentId="13_ncr:1_{2D1C9932-B898-4D5C-A795-CF45F1B03915}" xr6:coauthVersionLast="47" xr6:coauthVersionMax="47" xr10:uidLastSave="{00000000-0000-0000-0000-000000000000}"/>
  <bookViews>
    <workbookView xWindow="-96" yWindow="-96" windowWidth="23232" windowHeight="14592" xr2:uid="{EFD405B5-E82D-49C6-A123-B59408DE1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5" i="1"/>
  <c r="G8" i="1"/>
  <c r="G10" i="1" s="1"/>
  <c r="G11" i="1" s="1"/>
  <c r="I11" i="1" s="1"/>
  <c r="J11" i="1" s="1"/>
  <c r="G2" i="1"/>
  <c r="C6" i="1"/>
  <c r="C5" i="1"/>
  <c r="C4" i="1"/>
  <c r="C10" i="1" s="1"/>
  <c r="C13" i="1" s="1"/>
</calcChain>
</file>

<file path=xl/sharedStrings.xml><?xml version="1.0" encoding="utf-8"?>
<sst xmlns="http://schemas.openxmlformats.org/spreadsheetml/2006/main" count="21" uniqueCount="16">
  <si>
    <t>sig_long</t>
  </si>
  <si>
    <t>n_asts_long</t>
  </si>
  <si>
    <t>w_meth_long</t>
  </si>
  <si>
    <t>sig_short</t>
  </si>
  <si>
    <t>n_asts_short</t>
  </si>
  <si>
    <t>w_meth_short</t>
  </si>
  <si>
    <t>pct_long_short</t>
  </si>
  <si>
    <t>ind_const</t>
  </si>
  <si>
    <t>reb_freq</t>
  </si>
  <si>
    <t>Mult</t>
  </si>
  <si>
    <t>ETA</t>
  </si>
  <si>
    <t>n_asts</t>
  </si>
  <si>
    <t>w_meth</t>
  </si>
  <si>
    <t>s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</si>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</sst>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D858-3F56-4488-83B2-66ADC4BFE5DF}">
  <dimension ref="A1:K15"/>
  <sheetViews>
    <sheetView tabSelected="1" workbookViewId="0">
      <selection activeCell="K14" sqref="K14"/>
    </sheetView>
  </sheetViews>
  <sheetFormatPr defaultRowHeight="14.4" x14ac:dyDescent="0.55000000000000004"/>
  <sheetData>
    <row r="1" spans="1:11" x14ac:dyDescent="0.55000000000000004">
      <c r="A1" t="s">
        <v>0</v>
      </c>
      <c r="C1" s="1">
        <v>3</v>
      </c>
      <c r="E1" t="s">
        <v>0</v>
      </c>
      <c r="G1">
        <v>4</v>
      </c>
    </row>
    <row r="2" spans="1:11" x14ac:dyDescent="0.55000000000000004">
      <c r="A2" t="s">
        <v>1</v>
      </c>
      <c r="C2" s="1">
        <v>3</v>
      </c>
      <c r="E2" t="s">
        <v>3</v>
      </c>
      <c r="G2">
        <f>G1</f>
        <v>4</v>
      </c>
    </row>
    <row r="3" spans="1:11" x14ac:dyDescent="0.55000000000000004">
      <c r="A3" t="s">
        <v>2</v>
      </c>
      <c r="C3" s="1">
        <v>5</v>
      </c>
      <c r="E3" t="s">
        <v>11</v>
      </c>
      <c r="G3">
        <v>2</v>
      </c>
    </row>
    <row r="4" spans="1:11" x14ac:dyDescent="0.55000000000000004">
      <c r="A4" t="s">
        <v>3</v>
      </c>
      <c r="C4">
        <f>C1</f>
        <v>3</v>
      </c>
      <c r="E4" t="s">
        <v>12</v>
      </c>
      <c r="G4">
        <v>3</v>
      </c>
    </row>
    <row r="5" spans="1:11" x14ac:dyDescent="0.55000000000000004">
      <c r="A5" t="s">
        <v>4</v>
      </c>
      <c r="C5">
        <f>C2</f>
        <v>3</v>
      </c>
      <c r="E5" t="s">
        <v>6</v>
      </c>
      <c r="G5">
        <v>6</v>
      </c>
    </row>
    <row r="6" spans="1:11" x14ac:dyDescent="0.55000000000000004">
      <c r="A6" t="s">
        <v>5</v>
      </c>
      <c r="C6">
        <f>C3</f>
        <v>5</v>
      </c>
      <c r="E6" t="s">
        <v>7</v>
      </c>
      <c r="G6">
        <v>2</v>
      </c>
    </row>
    <row r="7" spans="1:11" x14ac:dyDescent="0.55000000000000004">
      <c r="A7" t="s">
        <v>6</v>
      </c>
      <c r="C7" s="1">
        <v>4</v>
      </c>
      <c r="E7" t="s">
        <v>8</v>
      </c>
      <c r="G7">
        <v>3</v>
      </c>
    </row>
    <row r="8" spans="1:11" x14ac:dyDescent="0.55000000000000004">
      <c r="A8" t="s">
        <v>7</v>
      </c>
      <c r="C8" s="1">
        <v>2</v>
      </c>
      <c r="G8">
        <f>PRODUCT(G1:G7)</f>
        <v>3456</v>
      </c>
    </row>
    <row r="9" spans="1:11" x14ac:dyDescent="0.55000000000000004">
      <c r="A9" t="s">
        <v>8</v>
      </c>
      <c r="C9" s="1">
        <v>2</v>
      </c>
      <c r="G9">
        <f>G15</f>
        <v>10.416666666666666</v>
      </c>
    </row>
    <row r="10" spans="1:11" x14ac:dyDescent="0.55000000000000004">
      <c r="C10">
        <f>PRODUCT(C1:C9)</f>
        <v>32400</v>
      </c>
      <c r="F10" t="s">
        <v>13</v>
      </c>
      <c r="G10">
        <f>G8*G9</f>
        <v>36000</v>
      </c>
      <c r="I10">
        <v>8</v>
      </c>
    </row>
    <row r="11" spans="1:11" x14ac:dyDescent="0.55000000000000004">
      <c r="F11" t="s">
        <v>14</v>
      </c>
      <c r="G11">
        <f>G10/(60*60)</f>
        <v>10</v>
      </c>
      <c r="I11">
        <f>G11/I10</f>
        <v>1.25</v>
      </c>
      <c r="J11">
        <f>I11*60</f>
        <v>75</v>
      </c>
      <c r="K11" t="s">
        <v>15</v>
      </c>
    </row>
    <row r="12" spans="1:11" x14ac:dyDescent="0.55000000000000004">
      <c r="A12" t="s">
        <v>9</v>
      </c>
      <c r="C12" s="1">
        <v>2</v>
      </c>
    </row>
    <row r="13" spans="1:11" x14ac:dyDescent="0.55000000000000004">
      <c r="A13" t="s">
        <v>10</v>
      </c>
      <c r="C13">
        <f>(C10*C12)/(60*60)</f>
        <v>18</v>
      </c>
      <c r="G13">
        <v>288</v>
      </c>
    </row>
    <row r="14" spans="1:11" x14ac:dyDescent="0.55000000000000004">
      <c r="G14">
        <v>3000</v>
      </c>
    </row>
    <row r="15" spans="1:11" x14ac:dyDescent="0.55000000000000004">
      <c r="G15">
        <f>G14/G13</f>
        <v>10.416666666666666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Louati</dc:creator>
  <cp:lastModifiedBy>Anis Louati</cp:lastModifiedBy>
  <dcterms:created xsi:type="dcterms:W3CDTF">2023-12-13T06:43:40Z</dcterms:created>
  <dcterms:modified xsi:type="dcterms:W3CDTF">2023-12-14T06:25:23Z</dcterms:modified>
</cp:coreProperties>
</file>